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bruiker\Documents\credit risk modelling\"/>
    </mc:Choice>
  </mc:AlternateContent>
  <bookViews>
    <workbookView xWindow="0" yWindow="0" windowWidth="24000" windowHeight="9510" activeTab="1"/>
  </bookViews>
  <sheets>
    <sheet name="payoff structure" sheetId="1" r:id="rId1"/>
    <sheet name="multi-period model" sheetId="2" r:id="rId2"/>
    <sheet name="Sheet3" sheetId="3" r:id="rId3"/>
  </sheets>
  <definedNames>
    <definedName name="solver_adj" localSheetId="1" hidden="1">'multi-period model'!$B$15:$B$16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'multi-period model'!$B$27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2" l="1"/>
  <c r="B21" i="2"/>
  <c r="B22" i="2" s="1"/>
  <c r="B19" i="2"/>
  <c r="B20" i="2" s="1"/>
  <c r="B11" i="2"/>
  <c r="B10" i="2"/>
  <c r="G3" i="2"/>
  <c r="G4" i="2"/>
  <c r="G5" i="2"/>
  <c r="G6" i="2"/>
  <c r="G7" i="2"/>
  <c r="G8" i="2"/>
  <c r="G9" i="2"/>
  <c r="G10" i="2"/>
  <c r="G11" i="2"/>
  <c r="G12" i="2"/>
  <c r="F3" i="2"/>
  <c r="F4" i="2"/>
  <c r="F5" i="2"/>
  <c r="F6" i="2"/>
  <c r="F7" i="2"/>
  <c r="F8" i="2"/>
  <c r="F9" i="2"/>
  <c r="F10" i="2"/>
  <c r="F11" i="2"/>
  <c r="F12" i="2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8" i="1"/>
  <c r="B23" i="2" l="1"/>
  <c r="B24" i="2" l="1"/>
  <c r="B27" i="2" s="1"/>
</calcChain>
</file>

<file path=xl/comments1.xml><?xml version="1.0" encoding="utf-8"?>
<comments xmlns="http://schemas.openxmlformats.org/spreadsheetml/2006/main">
  <authors>
    <author>Emrah Ozpeynirci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Pay-off structure if accrued dividends and interest have priority over other liabilities L</t>
        </r>
      </text>
    </comment>
    <comment ref="I2" authorId="0" shapeId="0">
      <text>
        <r>
          <rPr>
            <b/>
            <sz val="9"/>
            <color indexed="81"/>
            <rFont val="Tahoma"/>
            <charset val="1"/>
          </rPr>
          <t>Emrah Ozpeynirci:</t>
        </r>
        <r>
          <rPr>
            <sz val="9"/>
            <color indexed="81"/>
            <rFont val="Tahoma"/>
            <charset val="1"/>
          </rPr>
          <t xml:space="preserve">
typically, the average maturity of a firm's debt is larger than 1 year. But, it is dubious to get better results from merton model if we allign the maturity inside the modelwith actual debt maturities. 
It is safe to ignore the interim payments over a horizon of one year, however for a horizon of several years interim payments should enter our valuation formula. 
the main set-up of the merton model in the sense that there is only one date at which liabilities are due. however, we take interim payments into account.
assumptions are:
-assume that the firm has issued only one coupon bond with maturity equal to the average maturity of liabilities.
-accrue interest and dividend paymens to the maturity assumed in step 1; i.e shift their payment dates into the future
-since accrued interest and dividend payments are assumed to be due at maturity , eventhough they are actually paid before , treat them as liabilities have higher priority than the principal of the bond</t>
        </r>
      </text>
    </comment>
  </commentList>
</comments>
</file>

<file path=xl/comments2.xml><?xml version="1.0" encoding="utf-8"?>
<comments xmlns="http://schemas.openxmlformats.org/spreadsheetml/2006/main">
  <authors>
    <author>Emrah Ozpeynirci</author>
  </authors>
  <commentList>
    <comment ref="B29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drift rate assumed 4.5%</t>
        </r>
      </text>
    </comment>
  </commentList>
</comments>
</file>

<file path=xl/sharedStrings.xml><?xml version="1.0" encoding="utf-8"?>
<sst xmlns="http://schemas.openxmlformats.org/spreadsheetml/2006/main" count="37" uniqueCount="35">
  <si>
    <t>example data</t>
  </si>
  <si>
    <t>Accrued Dividends D</t>
  </si>
  <si>
    <t>Accrued Interest I</t>
  </si>
  <si>
    <t>Liabilities L</t>
  </si>
  <si>
    <t>Payoffs</t>
  </si>
  <si>
    <t>Asset Value AT</t>
  </si>
  <si>
    <t>Payoff Equity</t>
  </si>
  <si>
    <t>Data/Assumptions</t>
  </si>
  <si>
    <t>Equity Value</t>
  </si>
  <si>
    <t>Equity Volatility</t>
  </si>
  <si>
    <t>Liabilities</t>
  </si>
  <si>
    <t>Risk free rate</t>
  </si>
  <si>
    <t>Horizon (T-t)</t>
  </si>
  <si>
    <t>Coupon rate</t>
  </si>
  <si>
    <t>Dividend</t>
  </si>
  <si>
    <t>Dividend Growth</t>
  </si>
  <si>
    <t>accrued div D</t>
  </si>
  <si>
    <t>accrued int I</t>
  </si>
  <si>
    <t>Value of payouts at T</t>
  </si>
  <si>
    <t>Year</t>
  </si>
  <si>
    <t>Dividends</t>
  </si>
  <si>
    <t>Interest</t>
  </si>
  <si>
    <t>unknowns</t>
  </si>
  <si>
    <t>Asset Value</t>
  </si>
  <si>
    <t>Asset Volatility</t>
  </si>
  <si>
    <t>(set initial value = b2+b4)</t>
  </si>
  <si>
    <t>(set initial value = b3*b2/b15)</t>
  </si>
  <si>
    <t>Model</t>
  </si>
  <si>
    <t>d1</t>
  </si>
  <si>
    <t>d2</t>
  </si>
  <si>
    <t>k1</t>
  </si>
  <si>
    <t>k2</t>
  </si>
  <si>
    <t>Objective: minimize deviation data - model</t>
  </si>
  <si>
    <t>Squared rel.errors</t>
  </si>
  <si>
    <t>Prob(default)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</si>
</sst>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72" formatCode="_-* #,##0_-;\-* #,##0_-;_-* &quot;-&quot;??_-;_-@_-"/>
    <numFmt numFmtId="173" formatCode="0.000000000000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6">
    <xf numFmtId="0" fontId="0" fillId="0" borderId="0" xfId="0"/>
    <xf numFmtId="0" fontId="4" fillId="0" borderId="0" xfId="0" applyFont="1"/>
    <xf numFmtId="0" fontId="3" fillId="3" borderId="0" xfId="4"/>
    <xf numFmtId="10" fontId="0" fillId="0" borderId="0" xfId="0" applyNumberFormat="1"/>
    <xf numFmtId="9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7" fillId="0" borderId="0" xfId="0" applyFont="1"/>
    <xf numFmtId="2" fontId="0" fillId="0" borderId="0" xfId="0" applyNumberFormat="1"/>
    <xf numFmtId="1" fontId="0" fillId="0" borderId="0" xfId="0" applyNumberFormat="1"/>
    <xf numFmtId="10" fontId="0" fillId="0" borderId="0" xfId="2" applyNumberFormat="1" applyFont="1"/>
    <xf numFmtId="0" fontId="8" fillId="0" borderId="0" xfId="0" applyFont="1"/>
    <xf numFmtId="172" fontId="0" fillId="0" borderId="0" xfId="1" applyNumberFormat="1" applyFont="1"/>
    <xf numFmtId="173" fontId="0" fillId="0" borderId="0" xfId="0" applyNumberFormat="1"/>
    <xf numFmtId="0" fontId="9" fillId="2" borderId="0" xfId="3" applyFont="1"/>
    <xf numFmtId="10" fontId="9" fillId="2" borderId="0" xfId="3" applyNumberFormat="1" applyFont="1"/>
  </cellXfs>
  <cellStyles count="5">
    <cellStyle name="Comma" xfId="1" builtinId="3"/>
    <cellStyle name="Good" xfId="3" builtinId="26"/>
    <cellStyle name="Neutral" xfId="4" builtinId="2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'payoff structure'!$B$7</c:f>
              <c:strCache>
                <c:ptCount val="1"/>
                <c:pt idx="0">
                  <c:v>Payoff Equity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'payoff structure'!$A$8:$A$28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cat>
          <c:val>
            <c:numRef>
              <c:f>'payoff structure'!$B$8:$B$28</c:f>
              <c:numCache>
                <c:formatCode>General</c:formatCode>
                <c:ptCount val="21"/>
                <c:pt idx="0">
                  <c:v>0</c:v>
                </c:pt>
                <c:pt idx="1">
                  <c:v>33.333333333333329</c:v>
                </c:pt>
                <c:pt idx="2">
                  <c:v>66.666666666666657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150</c:v>
                </c:pt>
                <c:pt idx="10">
                  <c:v>200</c:v>
                </c:pt>
                <c:pt idx="11">
                  <c:v>250</c:v>
                </c:pt>
                <c:pt idx="12">
                  <c:v>300</c:v>
                </c:pt>
                <c:pt idx="13">
                  <c:v>350</c:v>
                </c:pt>
                <c:pt idx="14">
                  <c:v>400</c:v>
                </c:pt>
                <c:pt idx="15">
                  <c:v>450</c:v>
                </c:pt>
                <c:pt idx="16">
                  <c:v>500</c:v>
                </c:pt>
                <c:pt idx="17">
                  <c:v>550</c:v>
                </c:pt>
                <c:pt idx="18">
                  <c:v>600</c:v>
                </c:pt>
                <c:pt idx="19">
                  <c:v>650</c:v>
                </c:pt>
                <c:pt idx="20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06-4202-815A-F454E915E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134416"/>
        <c:axId val="669133432"/>
      </c:lineChart>
      <c:catAx>
        <c:axId val="66913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33432"/>
        <c:crosses val="autoZero"/>
        <c:auto val="1"/>
        <c:lblAlgn val="ctr"/>
        <c:lblOffset val="100"/>
        <c:noMultiLvlLbl val="0"/>
      </c:catAx>
      <c:valAx>
        <c:axId val="669133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3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13</xdr:row>
      <xdr:rowOff>38100</xdr:rowOff>
    </xdr:from>
    <xdr:to>
      <xdr:col>9</xdr:col>
      <xdr:colOff>523875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6E5245-B49A-4798-97C1-0212C99A72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0</xdr:row>
      <xdr:rowOff>95250</xdr:rowOff>
    </xdr:from>
    <xdr:to>
      <xdr:col>15</xdr:col>
      <xdr:colOff>381000</xdr:colOff>
      <xdr:row>2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3885EE-4A24-45F5-B811-3AB4A492ECD2}"/>
            </a:ext>
          </a:extLst>
        </xdr:cNvPr>
        <xdr:cNvSpPr txBox="1"/>
      </xdr:nvSpPr>
      <xdr:spPr>
        <a:xfrm>
          <a:off x="4810125" y="95250"/>
          <a:ext cx="4714875" cy="419100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bg1"/>
              </a:solidFill>
            </a:rPr>
            <a:t>Calibrating the multi-period model to equity value and equity volatility</a:t>
          </a:r>
        </a:p>
      </xdr:txBody>
    </xdr:sp>
    <xdr:clientData/>
  </xdr:twoCellAnchor>
  <xdr:twoCellAnchor editAs="oneCell">
    <xdr:from>
      <xdr:col>8</xdr:col>
      <xdr:colOff>123825</xdr:colOff>
      <xdr:row>3</xdr:row>
      <xdr:rowOff>114299</xdr:rowOff>
    </xdr:from>
    <xdr:to>
      <xdr:col>14</xdr:col>
      <xdr:colOff>544282</xdr:colOff>
      <xdr:row>26</xdr:row>
      <xdr:rowOff>18336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F3B46-38B5-4412-9ED0-6EAA18FF5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85799"/>
          <a:ext cx="4078057" cy="4285537"/>
        </a:xfrm>
        <a:prstGeom prst="rect">
          <a:avLst/>
        </a:prstGeom>
      </xdr:spPr>
    </xdr:pic>
    <xdr:clientData/>
  </xdr:twoCellAnchor>
  <xdr:twoCellAnchor>
    <xdr:from>
      <xdr:col>1</xdr:col>
      <xdr:colOff>314325</xdr:colOff>
      <xdr:row>29</xdr:row>
      <xdr:rowOff>171450</xdr:rowOff>
    </xdr:from>
    <xdr:to>
      <xdr:col>7</xdr:col>
      <xdr:colOff>323850</xdr:colOff>
      <xdr:row>38</xdr:row>
      <xdr:rowOff>142875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8B2450C-DA74-4B92-99B1-741E92427E5D}"/>
            </a:ext>
          </a:extLst>
        </xdr:cNvPr>
        <xdr:cNvSpPr txBox="1"/>
      </xdr:nvSpPr>
      <xdr:spPr>
        <a:xfrm>
          <a:off x="1485900" y="5695950"/>
          <a:ext cx="4991100" cy="1685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 is a default probability over a 5.5 years. as the model does not allow interim defaults , it is not obvious to convert this to an annual number.</a:t>
          </a:r>
        </a:p>
        <a:p>
          <a:endParaRPr lang="en-GB" sz="1100"/>
        </a:p>
        <a:p>
          <a:r>
            <a:rPr lang="en-GB" sz="1100"/>
            <a:t>to get an</a:t>
          </a:r>
          <a:r>
            <a:rPr lang="en-GB" sz="1100" baseline="0"/>
            <a:t> indication, under the assumption, that default probabilities are constant across time,, leads to:</a:t>
          </a:r>
        </a:p>
        <a:p>
          <a:endParaRPr lang="en-GB" sz="1100" baseline="0"/>
        </a:p>
        <a:p>
          <a:r>
            <a:rPr lang="en-GB" sz="1100" baseline="0"/>
            <a:t>prob(default per annum) = 1-(1-0.3135)^1/5.5 = 6.58%</a:t>
          </a:r>
          <a:endParaRPr lang="en-GB" sz="1100"/>
        </a:p>
      </xdr:txBody>
    </xdr:sp>
    <xdr:clientData/>
  </xdr:twoCellAnchor>
  <xdr:twoCellAnchor>
    <xdr:from>
      <xdr:col>17</xdr:col>
      <xdr:colOff>276225</xdr:colOff>
      <xdr:row>2</xdr:row>
      <xdr:rowOff>123826</xdr:rowOff>
    </xdr:from>
    <xdr:to>
      <xdr:col>26</xdr:col>
      <xdr:colOff>66675</xdr:colOff>
      <xdr:row>13</xdr:row>
      <xdr:rowOff>104776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B66CF-2B4B-41C8-817C-F9556AA5594C}"/>
            </a:ext>
          </a:extLst>
        </xdr:cNvPr>
        <xdr:cNvSpPr txBox="1"/>
      </xdr:nvSpPr>
      <xdr:spPr>
        <a:xfrm>
          <a:off x="12525375" y="504826"/>
          <a:ext cx="5276850" cy="2076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we can also determine the yield on the firm's liabilities. in our model, the firm has just oen bond that pays L + I at maturity (if the firm is not in default). The current value of the bond</a:t>
          </a:r>
          <a:r>
            <a:rPr lang="en-GB" sz="1100" baseline="0"/>
            <a:t> B is the payment in T discounted at yield y.</a:t>
          </a:r>
        </a:p>
        <a:p>
          <a:endParaRPr lang="en-GB" sz="1100" baseline="0"/>
        </a:p>
        <a:p>
          <a:r>
            <a:rPr lang="en-GB" sz="1100" baseline="0"/>
            <a:t>Bt = At-Et = (L+I) / (1+y)^T-t</a:t>
          </a:r>
        </a:p>
        <a:p>
          <a:endParaRPr lang="en-GB" sz="1100" baseline="0"/>
        </a:p>
        <a:p>
          <a:r>
            <a:rPr lang="en-GB" sz="1100" baseline="0"/>
            <a:t>solving for the yield y we get</a:t>
          </a:r>
        </a:p>
        <a:p>
          <a:endParaRPr lang="en-GB" sz="1100" baseline="0"/>
        </a:p>
        <a:p>
          <a:r>
            <a:rPr lang="en-GB" sz="1100" baseline="0"/>
            <a:t>y = ((L+I) / At-Et))^1/(T-t) - 1 = 6.17% 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8"/>
  <sheetViews>
    <sheetView workbookViewId="0">
      <selection activeCell="L24" sqref="L24"/>
    </sheetView>
  </sheetViews>
  <sheetFormatPr defaultRowHeight="15" x14ac:dyDescent="0.25"/>
  <cols>
    <col min="1" max="1" width="19.42578125" bestFit="1" customWidth="1"/>
    <col min="2" max="2" width="12.7109375" bestFit="1" customWidth="1"/>
  </cols>
  <sheetData>
    <row r="1" spans="1:9" x14ac:dyDescent="0.25">
      <c r="A1" s="2" t="s">
        <v>0</v>
      </c>
    </row>
    <row r="2" spans="1:9" x14ac:dyDescent="0.25">
      <c r="A2" t="s">
        <v>1</v>
      </c>
      <c r="B2">
        <v>100</v>
      </c>
    </row>
    <row r="3" spans="1:9" x14ac:dyDescent="0.25">
      <c r="A3" t="s">
        <v>2</v>
      </c>
      <c r="B3">
        <v>50</v>
      </c>
    </row>
    <row r="4" spans="1:9" x14ac:dyDescent="0.25">
      <c r="A4" t="s">
        <v>3</v>
      </c>
      <c r="B4">
        <v>250</v>
      </c>
    </row>
    <row r="6" spans="1:9" x14ac:dyDescent="0.25">
      <c r="A6" s="1" t="s">
        <v>4</v>
      </c>
    </row>
    <row r="7" spans="1:9" x14ac:dyDescent="0.25">
      <c r="A7" t="s">
        <v>5</v>
      </c>
      <c r="B7" t="s">
        <v>6</v>
      </c>
    </row>
    <row r="8" spans="1:9" x14ac:dyDescent="0.25">
      <c r="A8">
        <v>0</v>
      </c>
      <c r="B8">
        <f>IF(A8&lt;B$2+B$3,B$2/(B$2+B$3)*A8,IF(B$2+B$3+B$4&gt;A8,B$2,A8-B$3-B$4))</f>
        <v>0</v>
      </c>
    </row>
    <row r="9" spans="1:9" x14ac:dyDescent="0.25">
      <c r="A9">
        <v>50</v>
      </c>
      <c r="B9">
        <f t="shared" ref="B9:B28" si="0">IF(A9&lt;B$2+B$3,B$2/(B$2+B$3)*A9,IF(B$2+B$3+B$4&gt;A9,B$2,A9-B$3-B$4))</f>
        <v>33.333333333333329</v>
      </c>
    </row>
    <row r="10" spans="1:9" x14ac:dyDescent="0.25">
      <c r="A10">
        <v>100</v>
      </c>
      <c r="B10">
        <f t="shared" si="0"/>
        <v>66.666666666666657</v>
      </c>
    </row>
    <row r="11" spans="1:9" x14ac:dyDescent="0.25">
      <c r="A11">
        <v>150</v>
      </c>
      <c r="B11">
        <f t="shared" si="0"/>
        <v>100</v>
      </c>
    </row>
    <row r="12" spans="1:9" x14ac:dyDescent="0.25">
      <c r="A12">
        <v>200</v>
      </c>
      <c r="B12">
        <f t="shared" si="0"/>
        <v>100</v>
      </c>
    </row>
    <row r="13" spans="1:9" x14ac:dyDescent="0.25">
      <c r="A13">
        <v>250</v>
      </c>
      <c r="B13">
        <f t="shared" si="0"/>
        <v>100</v>
      </c>
    </row>
    <row r="14" spans="1:9" x14ac:dyDescent="0.25">
      <c r="A14">
        <v>300</v>
      </c>
      <c r="B14">
        <f t="shared" si="0"/>
        <v>100</v>
      </c>
    </row>
    <row r="15" spans="1:9" x14ac:dyDescent="0.25">
      <c r="A15">
        <v>350</v>
      </c>
      <c r="B15">
        <f t="shared" si="0"/>
        <v>100</v>
      </c>
    </row>
    <row r="16" spans="1:9" x14ac:dyDescent="0.25">
      <c r="A16">
        <v>400</v>
      </c>
      <c r="B16">
        <f t="shared" si="0"/>
        <v>100</v>
      </c>
    </row>
    <row r="17" spans="1:2" x14ac:dyDescent="0.25">
      <c r="A17">
        <v>450</v>
      </c>
      <c r="B17">
        <f t="shared" si="0"/>
        <v>150</v>
      </c>
    </row>
    <row r="18" spans="1:2" x14ac:dyDescent="0.25">
      <c r="A18">
        <v>500</v>
      </c>
      <c r="B18">
        <f t="shared" si="0"/>
        <v>200</v>
      </c>
    </row>
    <row r="19" spans="1:2" x14ac:dyDescent="0.25">
      <c r="A19">
        <v>550</v>
      </c>
      <c r="B19">
        <f t="shared" si="0"/>
        <v>250</v>
      </c>
    </row>
    <row r="20" spans="1:2" x14ac:dyDescent="0.25">
      <c r="A20">
        <v>600</v>
      </c>
      <c r="B20">
        <f t="shared" si="0"/>
        <v>300</v>
      </c>
    </row>
    <row r="21" spans="1:2" x14ac:dyDescent="0.25">
      <c r="A21">
        <v>650</v>
      </c>
      <c r="B21">
        <f t="shared" si="0"/>
        <v>350</v>
      </c>
    </row>
    <row r="22" spans="1:2" x14ac:dyDescent="0.25">
      <c r="A22">
        <v>700</v>
      </c>
      <c r="B22">
        <f t="shared" si="0"/>
        <v>400</v>
      </c>
    </row>
    <row r="23" spans="1:2" x14ac:dyDescent="0.25">
      <c r="A23">
        <v>750</v>
      </c>
      <c r="B23">
        <f t="shared" si="0"/>
        <v>450</v>
      </c>
    </row>
    <row r="24" spans="1:2" x14ac:dyDescent="0.25">
      <c r="A24">
        <v>800</v>
      </c>
      <c r="B24">
        <f t="shared" si="0"/>
        <v>500</v>
      </c>
    </row>
    <row r="25" spans="1:2" x14ac:dyDescent="0.25">
      <c r="A25">
        <v>850</v>
      </c>
      <c r="B25">
        <f t="shared" si="0"/>
        <v>550</v>
      </c>
    </row>
    <row r="26" spans="1:2" x14ac:dyDescent="0.25">
      <c r="A26">
        <v>900</v>
      </c>
      <c r="B26">
        <f t="shared" si="0"/>
        <v>600</v>
      </c>
    </row>
    <row r="27" spans="1:2" x14ac:dyDescent="0.25">
      <c r="A27">
        <v>950</v>
      </c>
      <c r="B27">
        <f t="shared" si="0"/>
        <v>650</v>
      </c>
    </row>
    <row r="28" spans="1:2" x14ac:dyDescent="0.25">
      <c r="A28">
        <v>1000</v>
      </c>
      <c r="B28">
        <f t="shared" si="0"/>
        <v>700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9"/>
  <sheetViews>
    <sheetView tabSelected="1" workbookViewId="0">
      <selection activeCell="V18" sqref="V18"/>
    </sheetView>
  </sheetViews>
  <sheetFormatPr defaultRowHeight="15" x14ac:dyDescent="0.25"/>
  <cols>
    <col min="1" max="1" width="17.5703125" bestFit="1" customWidth="1"/>
    <col min="2" max="2" width="20.42578125" bestFit="1" customWidth="1"/>
    <col min="6" max="6" width="13.5703125" customWidth="1"/>
    <col min="7" max="7" width="13.28515625" customWidth="1"/>
  </cols>
  <sheetData>
    <row r="1" spans="1:7" x14ac:dyDescent="0.25">
      <c r="A1" s="1" t="s">
        <v>7</v>
      </c>
      <c r="E1" s="5" t="s">
        <v>18</v>
      </c>
      <c r="F1" s="5"/>
      <c r="G1" s="5"/>
    </row>
    <row r="2" spans="1:7" x14ac:dyDescent="0.25">
      <c r="A2" s="7" t="s">
        <v>8</v>
      </c>
      <c r="B2">
        <v>26237</v>
      </c>
      <c r="E2" s="6" t="s">
        <v>19</v>
      </c>
      <c r="F2" s="6" t="s">
        <v>20</v>
      </c>
      <c r="G2" s="6" t="s">
        <v>21</v>
      </c>
    </row>
    <row r="3" spans="1:7" x14ac:dyDescent="0.25">
      <c r="A3" s="7" t="s">
        <v>9</v>
      </c>
      <c r="B3" s="3">
        <v>0.45650000000000002</v>
      </c>
      <c r="E3">
        <v>1</v>
      </c>
      <c r="F3" s="9">
        <f t="shared" ref="F3:F11" si="0">(E3&lt;=B$6)*B$8*(1+B$9)^E3*EXP(B$5*(B$6-E3))</f>
        <v>464.11517360925137</v>
      </c>
      <c r="G3" s="9">
        <f t="shared" ref="G3:G11" si="1">(E3&lt;=B$6)*B$7*B$4*EXP(B$5*(B$7-E3))</f>
        <v>1975.8469506668532</v>
      </c>
    </row>
    <row r="4" spans="1:7" x14ac:dyDescent="0.25">
      <c r="A4" s="7" t="s">
        <v>10</v>
      </c>
      <c r="B4">
        <v>51562</v>
      </c>
      <c r="E4">
        <v>2</v>
      </c>
      <c r="F4" s="9">
        <f t="shared" si="0"/>
        <v>457.14084705334045</v>
      </c>
      <c r="G4" s="9">
        <f t="shared" si="1"/>
        <v>1889.4714657471309</v>
      </c>
    </row>
    <row r="5" spans="1:7" x14ac:dyDescent="0.25">
      <c r="A5" s="7" t="s">
        <v>11</v>
      </c>
      <c r="B5" s="3">
        <v>4.4699999999999997E-2</v>
      </c>
      <c r="E5">
        <v>3</v>
      </c>
      <c r="F5" s="9">
        <f t="shared" si="0"/>
        <v>450.27132472205813</v>
      </c>
      <c r="G5" s="9">
        <f t="shared" si="1"/>
        <v>1806.8719435317059</v>
      </c>
    </row>
    <row r="6" spans="1:7" x14ac:dyDescent="0.25">
      <c r="A6" s="7" t="s">
        <v>12</v>
      </c>
      <c r="B6">
        <v>5.53</v>
      </c>
      <c r="E6">
        <v>4</v>
      </c>
      <c r="F6" s="9">
        <f t="shared" si="0"/>
        <v>443.50503170700114</v>
      </c>
      <c r="G6" s="9">
        <f t="shared" si="1"/>
        <v>1727.8833152587931</v>
      </c>
    </row>
    <row r="7" spans="1:7" x14ac:dyDescent="0.25">
      <c r="A7" s="7" t="s">
        <v>13</v>
      </c>
      <c r="B7" s="4">
        <v>0.04</v>
      </c>
      <c r="E7">
        <v>5</v>
      </c>
      <c r="F7" s="9">
        <f t="shared" si="0"/>
        <v>436.84041676614493</v>
      </c>
      <c r="G7" s="9">
        <f t="shared" si="1"/>
        <v>1652.3477282590998</v>
      </c>
    </row>
    <row r="8" spans="1:7" x14ac:dyDescent="0.25">
      <c r="A8" s="7" t="s">
        <v>14</v>
      </c>
      <c r="B8">
        <v>368</v>
      </c>
      <c r="E8">
        <v>6</v>
      </c>
      <c r="F8" s="9">
        <f t="shared" si="0"/>
        <v>0</v>
      </c>
      <c r="G8" s="9">
        <f t="shared" si="1"/>
        <v>0</v>
      </c>
    </row>
    <row r="9" spans="1:7" x14ac:dyDescent="0.25">
      <c r="A9" s="7" t="s">
        <v>15</v>
      </c>
      <c r="B9" s="4">
        <v>0.03</v>
      </c>
      <c r="E9">
        <v>7</v>
      </c>
      <c r="F9" s="9">
        <f t="shared" si="0"/>
        <v>0</v>
      </c>
      <c r="G9" s="9">
        <f t="shared" si="1"/>
        <v>0</v>
      </c>
    </row>
    <row r="10" spans="1:7" x14ac:dyDescent="0.25">
      <c r="A10" s="7" t="s">
        <v>16</v>
      </c>
      <c r="B10" s="9">
        <f>SUM(F3:F12)</f>
        <v>2251.8727938577958</v>
      </c>
      <c r="E10">
        <v>8</v>
      </c>
      <c r="F10" s="9">
        <f t="shared" si="0"/>
        <v>0</v>
      </c>
      <c r="G10" s="9">
        <f t="shared" si="1"/>
        <v>0</v>
      </c>
    </row>
    <row r="11" spans="1:7" x14ac:dyDescent="0.25">
      <c r="A11" s="7" t="s">
        <v>17</v>
      </c>
      <c r="B11" s="9">
        <f>SUM(G3:G12)</f>
        <v>9052.4214034635825</v>
      </c>
      <c r="E11">
        <v>9</v>
      </c>
      <c r="F11" s="9">
        <f t="shared" si="0"/>
        <v>0</v>
      </c>
      <c r="G11" s="9">
        <f t="shared" si="1"/>
        <v>0</v>
      </c>
    </row>
    <row r="12" spans="1:7" x14ac:dyDescent="0.25">
      <c r="E12">
        <v>10</v>
      </c>
      <c r="F12" s="9">
        <f>(E12&lt;=B$6)*B$8*(1+B$9)^E12*EXP(B$5*(B$6-E12))</f>
        <v>0</v>
      </c>
      <c r="G12" s="9">
        <f>(E12&lt;=B$6)*B$7*B$4*EXP(B$5*(B$7-E12))</f>
        <v>0</v>
      </c>
    </row>
    <row r="14" spans="1:7" x14ac:dyDescent="0.25">
      <c r="A14" s="11" t="s">
        <v>22</v>
      </c>
    </row>
    <row r="15" spans="1:7" x14ac:dyDescent="0.25">
      <c r="A15" s="7" t="s">
        <v>23</v>
      </c>
      <c r="B15" s="9">
        <v>69755.653343508922</v>
      </c>
      <c r="C15" t="s">
        <v>25</v>
      </c>
    </row>
    <row r="16" spans="1:7" x14ac:dyDescent="0.25">
      <c r="A16" s="7" t="s">
        <v>24</v>
      </c>
      <c r="B16" s="10">
        <v>0.20606907628778903</v>
      </c>
      <c r="C16" t="s">
        <v>26</v>
      </c>
    </row>
    <row r="18" spans="1:2" x14ac:dyDescent="0.25">
      <c r="A18" s="1" t="s">
        <v>27</v>
      </c>
    </row>
    <row r="19" spans="1:2" x14ac:dyDescent="0.25">
      <c r="A19" t="s">
        <v>28</v>
      </c>
      <c r="B19" s="8">
        <f>(LN(B15/(B4+B10+B11))+(B5+B16^2/2)*B6)/(B16*B6^0.5)</f>
        <v>0.96698763709799307</v>
      </c>
    </row>
    <row r="20" spans="1:2" x14ac:dyDescent="0.25">
      <c r="A20" t="s">
        <v>29</v>
      </c>
      <c r="B20" s="8">
        <f>B19-B16*B6^0.5</f>
        <v>0.48239658575920957</v>
      </c>
    </row>
    <row r="21" spans="1:2" x14ac:dyDescent="0.25">
      <c r="A21" t="s">
        <v>30</v>
      </c>
      <c r="B21" s="8">
        <f>(LN(B15/(B10+B11))+(B5+B16^2/2)*B6)/(B16*B6^0.5)</f>
        <v>4.5077618239723982</v>
      </c>
    </row>
    <row r="22" spans="1:2" x14ac:dyDescent="0.25">
      <c r="A22" t="s">
        <v>31</v>
      </c>
      <c r="B22" s="8">
        <f>B21-B16*B6^0.5</f>
        <v>4.0231707726336143</v>
      </c>
    </row>
    <row r="23" spans="1:2" x14ac:dyDescent="0.25">
      <c r="A23" t="s">
        <v>8</v>
      </c>
      <c r="B23" s="12">
        <f>B15*NORMSDIST(B19)-(B4+B10+B11)*EXP(-B5*B6)*NORMSDIST(B20)+B10/(B10+B11)*(B15-B15*NORMSDIST(B21)+EXP(-B5*B6)*(B10+B11)*NORMSDIST(B22))</f>
        <v>26236.997272300017</v>
      </c>
    </row>
    <row r="24" spans="1:2" x14ac:dyDescent="0.25">
      <c r="A24" t="s">
        <v>9</v>
      </c>
      <c r="B24" s="10">
        <f>B16*B15/B23*(NORMSDIST(B19)+B10/(B10+B11)*(1-NORMSDIST(B21)))</f>
        <v>0.45649989430491217</v>
      </c>
    </row>
    <row r="26" spans="1:2" x14ac:dyDescent="0.25">
      <c r="A26" s="1" t="s">
        <v>32</v>
      </c>
    </row>
    <row r="27" spans="1:2" x14ac:dyDescent="0.25">
      <c r="A27" t="s">
        <v>33</v>
      </c>
      <c r="B27" s="13">
        <f>(B23/B2-1)^2+(B24/B3-1)^2</f>
        <v>6.4416293023945194E-14</v>
      </c>
    </row>
    <row r="29" spans="1:2" x14ac:dyDescent="0.25">
      <c r="A29" s="14" t="s">
        <v>34</v>
      </c>
      <c r="B29" s="15">
        <f>NORMSDIST(-(LN(B15/(B4+B10+B11))+(0.045-B16^2/2)*B6)/(B16*B6^0.5))</f>
        <v>0.31354736416553947</v>
      </c>
    </row>
  </sheetData>
  <mergeCells count="1">
    <mergeCell ref="E1:G1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payoff structure</vt:lpstr>
      <vt:lpstr>multi-period model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Ozpeynirci</dc:creator>
  <cp:lastModifiedBy>Emrah Ozpeynirci</cp:lastModifiedBy>
  <dcterms:created xsi:type="dcterms:W3CDTF">2018-01-16T11:04:14Z</dcterms:created>
  <dcterms:modified xsi:type="dcterms:W3CDTF">2018-01-16T12:55:44Z</dcterms:modified>
</cp:coreProperties>
</file>